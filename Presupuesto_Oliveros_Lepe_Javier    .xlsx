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<sst xmlns="http://schemas.openxmlformats.org/spreadsheetml/2006/main" count="36" uniqueCount="32">
  <si>
    <t>Categoria</t>
  </si>
  <si>
    <t>Proveedor</t>
  </si>
  <si>
    <t>Concepto/Servicio</t>
  </si>
  <si>
    <t>Cantidad</t>
  </si>
  <si>
    <t xml:space="preserve">Precio
Unit. </t>
  </si>
  <si>
    <t>Total
Mensual</t>
  </si>
  <si>
    <t>TCO</t>
  </si>
  <si>
    <t>TOTALES</t>
  </si>
  <si>
    <t>Computo (Servidores)</t>
  </si>
  <si>
    <t>Google Cloud</t>
  </si>
  <si>
    <t>Compute Engine E2-
Standard-2 (2 vCPU, 8GB)</t>
  </si>
  <si>
    <t>2
Instancias</t>
  </si>
  <si>
    <t>Total SIN IVA</t>
  </si>
  <si>
    <t>AWS</t>
  </si>
  <si>
    <t>EC2 t3.medium (Staging Env)</t>
  </si>
  <si>
    <t>1 Instancia</t>
  </si>
  <si>
    <t>TOTAL CON IVA</t>
  </si>
  <si>
    <t>Almacenamiento (BD)</t>
  </si>
  <si>
    <t>Google
Cloud</t>
  </si>
  <si>
    <t>Cloud SQL PostgreSQL Base
+ 100 GB</t>
  </si>
  <si>
    <t>100 GB</t>
  </si>
  <si>
    <t>TOTAL CON 
BENEFICIO</t>
  </si>
  <si>
    <t>Almacenamiento (Discos)</t>
  </si>
  <si>
    <t>DigitalOcean</t>
  </si>
  <si>
    <t>Block Storage (Backups/</t>
  </si>
  <si>
    <t>250 GB</t>
  </si>
  <si>
    <t>Transferencia de Red</t>
  </si>
  <si>
    <t>Data Transfer Out (Tráfico
Saliente)</t>
  </si>
  <si>
    <t>500 GB</t>
  </si>
  <si>
    <t>Premium Tier Network Egress</t>
  </si>
  <si>
    <t>120 GB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</si>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</sst>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&quot;€&quot;"/>
  </numFmts>
  <fonts count="5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666666"/>
        <bgColor rgb="FF666666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0B5394"/>
        <bgColor rgb="FF0B5394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</fills>
  <borders count="11">
    <border/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Border="1" applyFont="1"/>
    <xf borderId="1" fillId="3" fontId="3" numFmtId="0" xfId="0" applyAlignment="1" applyBorder="1" applyFill="1" applyFont="1">
      <alignment horizontal="center" readingOrder="0"/>
    </xf>
    <xf borderId="2" fillId="4" fontId="2" numFmtId="0" xfId="0" applyAlignment="1" applyBorder="1" applyFill="1" applyFont="1">
      <alignment horizontal="center" readingOrder="0"/>
    </xf>
    <xf borderId="3" fillId="5" fontId="2" numFmtId="0" xfId="0" applyAlignment="1" applyBorder="1" applyFill="1" applyFont="1">
      <alignment horizontal="center" readingOrder="0"/>
    </xf>
    <xf borderId="3" fillId="6" fontId="2" numFmtId="0" xfId="0" applyAlignment="1" applyBorder="1" applyFill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3" fillId="7" fontId="2" numFmtId="164" xfId="0" applyAlignment="1" applyBorder="1" applyFill="1" applyFont="1" applyNumberFormat="1">
      <alignment horizontal="center" readingOrder="0"/>
    </xf>
    <xf borderId="4" fillId="7" fontId="2" numFmtId="164" xfId="0" applyAlignment="1" applyBorder="1" applyFont="1" applyNumberFormat="1">
      <alignment horizontal="center" readingOrder="0"/>
    </xf>
    <xf borderId="4" fillId="8" fontId="4" numFmtId="164" xfId="0" applyAlignment="1" applyBorder="1" applyFill="1" applyFont="1" applyNumberFormat="1">
      <alignment horizontal="center" readingOrder="0"/>
    </xf>
    <xf borderId="5" fillId="4" fontId="2" numFmtId="0" xfId="0" applyAlignment="1" applyBorder="1" applyFont="1">
      <alignment horizontal="center" readingOrder="0"/>
    </xf>
    <xf borderId="6" fillId="5" fontId="2" numFmtId="0" xfId="0" applyAlignment="1" applyBorder="1" applyFont="1">
      <alignment horizontal="center" readingOrder="0"/>
    </xf>
    <xf borderId="6" fillId="6" fontId="2" numFmtId="0" xfId="0" applyAlignment="1" applyBorder="1" applyFont="1">
      <alignment horizontal="center" readingOrder="0"/>
    </xf>
    <xf borderId="6" fillId="2" fontId="2" numFmtId="0" xfId="0" applyAlignment="1" applyBorder="1" applyFont="1">
      <alignment horizontal="center" readingOrder="0"/>
    </xf>
    <xf borderId="6" fillId="7" fontId="2" numFmtId="164" xfId="0" applyAlignment="1" applyBorder="1" applyFont="1" applyNumberFormat="1">
      <alignment horizontal="center" readingOrder="0"/>
    </xf>
    <xf borderId="7" fillId="7" fontId="2" numFmtId="164" xfId="0" applyAlignment="1" applyBorder="1" applyFont="1" applyNumberFormat="1">
      <alignment horizontal="center" readingOrder="0"/>
    </xf>
    <xf borderId="0" fillId="0" fontId="4" numFmtId="0" xfId="0" applyFont="1"/>
    <xf borderId="8" fillId="4" fontId="2" numFmtId="0" xfId="0" applyAlignment="1" applyBorder="1" applyFont="1">
      <alignment horizontal="center" readingOrder="0"/>
    </xf>
    <xf borderId="9" fillId="5" fontId="2" numFmtId="0" xfId="0" applyAlignment="1" applyBorder="1" applyFont="1">
      <alignment horizontal="center" readingOrder="0"/>
    </xf>
    <xf borderId="9" fillId="6" fontId="2" numFmtId="0" xfId="0" applyAlignment="1" applyBorder="1" applyFont="1">
      <alignment horizontal="center" readingOrder="0"/>
    </xf>
    <xf borderId="9" fillId="2" fontId="2" numFmtId="0" xfId="0" applyAlignment="1" applyBorder="1" applyFont="1">
      <alignment horizontal="center" readingOrder="0"/>
    </xf>
    <xf borderId="9" fillId="7" fontId="2" numFmtId="164" xfId="0" applyAlignment="1" applyBorder="1" applyFont="1" applyNumberFormat="1">
      <alignment horizontal="center" readingOrder="0"/>
    </xf>
    <xf borderId="10" fillId="7" fontId="2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/>
    </xf>
    <xf borderId="7" fillId="9" fontId="4" numFmtId="164" xfId="0" applyAlignment="1" applyBorder="1" applyFill="1" applyFont="1" applyNumberFormat="1">
      <alignment horizontal="center" readingOrder="0"/>
    </xf>
    <xf borderId="6" fillId="10" fontId="2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3" max="3" width="23.38"/>
    <col customWidth="1" min="8" max="8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 t="s">
        <v>6</v>
      </c>
      <c r="I1" s="3" t="s">
        <v>7</v>
      </c>
    </row>
    <row r="2">
      <c r="A2" s="4" t="s">
        <v>8</v>
      </c>
      <c r="B2" s="5" t="s">
        <v>9</v>
      </c>
      <c r="C2" s="6" t="s">
        <v>10</v>
      </c>
      <c r="D2" s="7" t="s">
        <v>11</v>
      </c>
      <c r="E2" s="8">
        <v>57.98</v>
      </c>
      <c r="F2" s="9">
        <v>98.0</v>
      </c>
      <c r="H2" s="10" t="s">
        <v>12</v>
      </c>
      <c r="I2" s="10">
        <f>F8</f>
        <v>232</v>
      </c>
    </row>
    <row r="3">
      <c r="A3" s="11" t="s">
        <v>8</v>
      </c>
      <c r="B3" s="12" t="s">
        <v>13</v>
      </c>
      <c r="C3" s="13" t="s">
        <v>14</v>
      </c>
      <c r="D3" s="14" t="s">
        <v>15</v>
      </c>
      <c r="E3" s="15">
        <v>43.5</v>
      </c>
      <c r="F3" s="16">
        <v>34.0</v>
      </c>
      <c r="H3" s="10" t="s">
        <v>16</v>
      </c>
      <c r="I3" s="10">
        <f>PRODUCT(I2*0.21)+I2</f>
        <v>280.72</v>
      </c>
    </row>
    <row r="4">
      <c r="A4" s="11" t="s">
        <v>17</v>
      </c>
      <c r="B4" s="12" t="s">
        <v>18</v>
      </c>
      <c r="C4" s="13" t="s">
        <v>19</v>
      </c>
      <c r="D4" s="14" t="s">
        <v>20</v>
      </c>
      <c r="E4" s="15">
        <v>0.25</v>
      </c>
      <c r="F4" s="16">
        <v>17.0</v>
      </c>
      <c r="H4" s="10" t="s">
        <v>21</v>
      </c>
      <c r="I4" s="10">
        <f>PRODUCT(I3*0.25)+I3</f>
        <v>350.9</v>
      </c>
    </row>
    <row r="5">
      <c r="A5" s="11" t="s">
        <v>22</v>
      </c>
      <c r="B5" s="12" t="s">
        <v>23</v>
      </c>
      <c r="C5" s="13" t="s">
        <v>24</v>
      </c>
      <c r="D5" s="14" t="s">
        <v>25</v>
      </c>
      <c r="E5" s="15">
        <v>0.17</v>
      </c>
      <c r="F5" s="16">
        <v>23.0</v>
      </c>
      <c r="H5" s="17"/>
      <c r="I5" s="17"/>
    </row>
    <row r="6">
      <c r="A6" s="11" t="s">
        <v>26</v>
      </c>
      <c r="B6" s="12" t="s">
        <v>13</v>
      </c>
      <c r="C6" s="13" t="s">
        <v>27</v>
      </c>
      <c r="D6" s="14" t="s">
        <v>28</v>
      </c>
      <c r="E6" s="15">
        <v>0.08</v>
      </c>
      <c r="F6" s="16">
        <v>34.0</v>
      </c>
    </row>
    <row r="7">
      <c r="A7" s="18" t="s">
        <v>26</v>
      </c>
      <c r="B7" s="19" t="s">
        <v>9</v>
      </c>
      <c r="C7" s="20" t="s">
        <v>29</v>
      </c>
      <c r="D7" s="21" t="s">
        <v>30</v>
      </c>
      <c r="E7" s="22">
        <v>0.12</v>
      </c>
      <c r="F7" s="23">
        <v>26.0</v>
      </c>
    </row>
    <row r="8" ht="17.25" customHeight="1">
      <c r="B8" s="24"/>
      <c r="F8" s="25">
        <f>SUM(F2:F7)</f>
        <v>232</v>
      </c>
      <c r="G8" s="26" t="s">
        <v>31</v>
      </c>
    </row>
  </sheetData>
  <drawing r:id="rId1"/>
</worksheet>
</file>